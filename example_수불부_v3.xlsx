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불부" sheetId="2" state="visible" r:id="rId2"/>
  </sheets>
  <definedNames>
    <definedName name="_xlnm._FilterDatabase" localSheetId="0" hidden="1">'Sheet1'!$A$1:$L$1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####0"/>
    <numFmt numFmtId="165" formatCode="#####0.0"/>
    <numFmt numFmtId="166" formatCode="0.0%"/>
    <numFmt numFmtId="167" formatCode="yyyy-mm-dd h:mm:ss"/>
    <numFmt numFmtId="168" formatCode="YYYY-MM-DD"/>
  </numFmts>
  <fonts count="29">
    <font>
      <name val="맑은 고딕"/>
      <family val="2"/>
      <color theme="1"/>
      <sz val="11"/>
      <scheme val="minor"/>
    </font>
    <font>
      <name val="맑은 고딕"/>
      <family val="2"/>
      <color rgb="FFFFFFFF"/>
      <sz val="11"/>
      <scheme val="minor"/>
    </font>
    <font>
      <name val="맑은 고딕"/>
      <family val="2"/>
      <color rgb="FF333333"/>
      <sz val="11"/>
      <scheme val="minor"/>
    </font>
    <font>
      <name val="맑은 고딕"/>
      <family val="2"/>
      <color rgb="FF333333"/>
      <sz val="11"/>
      <scheme val="minor"/>
    </font>
    <font>
      <name val="맑은 고딕"/>
      <family val="2"/>
      <color rgb="FF33333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family val="2"/>
      <b val="1"/>
      <color theme="1"/>
      <sz val="9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color rgb="FF808080"/>
      <sz val="8"/>
      <scheme val="minor"/>
    </font>
    <font>
      <name val="맑은 고딕"/>
      <family val="2"/>
      <color theme="1"/>
      <sz val="8"/>
      <scheme val="minor"/>
    </font>
    <font>
      <name val="맑은 고딕"/>
      <charset val="129"/>
      <family val="3"/>
      <b val="1"/>
      <color rgb="FFFFFFFF"/>
      <sz val="8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rgb="FFD9D9D9"/>
      <sz val="7"/>
      <scheme val="minor"/>
    </font>
    <font>
      <name val="맑은 고딕"/>
      <b val="1"/>
      <color rgb="00000000"/>
      <sz val="18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9E2F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8FAAD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DCE4"/>
      </patternFill>
    </fill>
  </fills>
  <borders count="63">
    <border>
      <left/>
      <right/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/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rgb="FF2F5496"/>
      </right>
      <top style="thin">
        <color rgb="FFB4C6E7"/>
      </top>
      <bottom/>
      <diagonal/>
    </border>
    <border>
      <left style="medium">
        <color rgb="FF2F5496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medium">
        <color rgb="FF2F5496"/>
      </right>
      <top/>
      <bottom/>
      <diagonal/>
    </border>
    <border>
      <left style="medium">
        <color rgb="FF2F5496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medium">
        <color rgb="FF2F5496"/>
      </right>
      <top style="double">
        <color rgb="FF2F5496"/>
      </top>
      <bottom style="double">
        <color rgb="FF2F5496"/>
      </bottom>
      <diagonal/>
    </border>
    <border>
      <left/>
      <right/>
      <top style="thin">
        <color rgb="FF2F5496"/>
      </top>
      <bottom/>
      <diagonal/>
    </border>
    <border>
      <left/>
      <right/>
      <top/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/>
      <diagonal/>
    </border>
    <border>
      <left style="thin">
        <color rgb="FF2F5496"/>
      </left>
      <right/>
      <top/>
      <bottom style="thin">
        <color rgb="FF2F5496"/>
      </bottom>
      <diagonal/>
    </border>
    <border>
      <left/>
      <right style="thin">
        <color rgb="FF2F5496"/>
      </right>
      <top style="thin">
        <color rgb="FF2F5496"/>
      </top>
      <bottom/>
      <diagonal/>
    </border>
    <border>
      <left/>
      <right style="thin">
        <color rgb="FF2F5496"/>
      </right>
      <top/>
      <bottom style="thin">
        <color rgb="FF2F5496"/>
      </bottom>
      <diagonal/>
    </border>
    <border>
      <left style="thin">
        <color rgb="FFB4C6E7"/>
      </left>
      <right/>
      <top style="medium">
        <color rgb="FF2F5496"/>
      </top>
      <bottom style="thin">
        <color rgb="FFB4C6E7"/>
      </bottom>
      <diagonal/>
    </border>
    <border>
      <left style="thin">
        <color rgb="FFB4C6E7"/>
      </left>
      <right/>
      <top style="medium">
        <color rgb="FF2F5496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/>
      <bottom style="medium">
        <color rgb="FF2F5496"/>
      </bottom>
      <diagonal/>
    </border>
    <border>
      <left/>
      <right/>
      <top style="medium">
        <color rgb="FF2F5496"/>
      </top>
      <bottom/>
      <diagonal/>
    </border>
    <border>
      <left/>
      <right style="thin">
        <color rgb="FFB4C6E7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 style="thin">
        <color rgb="FFB4C6E7"/>
      </right>
      <top/>
      <bottom style="medium">
        <color rgb="FF2F5496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5" fontId="3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center"/>
    </xf>
    <xf numFmtId="0" fontId="9" fillId="7" borderId="4" applyAlignment="1" pivotButton="0" quotePrefix="0" xfId="0">
      <alignment horizontal="center" vertical="center"/>
    </xf>
    <xf numFmtId="0" fontId="9" fillId="7" borderId="12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12" fillId="9" borderId="14" applyAlignment="1" pivotButton="0" quotePrefix="0" xfId="0">
      <alignment vertical="center"/>
    </xf>
    <xf numFmtId="0" fontId="1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9" borderId="15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11" fillId="1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1" fillId="0" borderId="9" applyAlignment="1" pivotButton="0" quotePrefix="0" xfId="0">
      <alignment vertical="center"/>
    </xf>
    <xf numFmtId="0" fontId="11" fillId="0" borderId="16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0" fontId="11" fillId="10" borderId="3" applyAlignment="1" pivotButton="0" quotePrefix="0" xfId="0">
      <alignment horizontal="center" vertical="center"/>
    </xf>
    <xf numFmtId="3" fontId="11" fillId="0" borderId="3" applyAlignment="1" pivotButton="0" quotePrefix="0" xfId="0">
      <alignment horizontal="right" vertical="center"/>
    </xf>
    <xf numFmtId="0" fontId="11" fillId="0" borderId="17" applyAlignment="1" pivotButton="0" quotePrefix="0" xfId="0">
      <alignment vertical="center"/>
    </xf>
    <xf numFmtId="0" fontId="12" fillId="11" borderId="18" applyAlignment="1" pivotButton="0" quotePrefix="0" xfId="0">
      <alignment vertical="center"/>
    </xf>
    <xf numFmtId="0" fontId="0" fillId="11" borderId="19" applyAlignment="1" pivotButton="0" quotePrefix="0" xfId="0">
      <alignment vertical="center"/>
    </xf>
    <xf numFmtId="0" fontId="12" fillId="11" borderId="19" applyAlignment="1" pivotButton="0" quotePrefix="0" xfId="0">
      <alignment horizontal="center" vertical="center"/>
    </xf>
    <xf numFmtId="3" fontId="12" fillId="11" borderId="19" applyAlignment="1" pivotButton="0" quotePrefix="0" xfId="0">
      <alignment horizontal="right" vertical="center"/>
    </xf>
    <xf numFmtId="0" fontId="0" fillId="11" borderId="20" applyAlignment="1" pivotButton="0" quotePrefix="0" xfId="0">
      <alignment vertical="center"/>
    </xf>
    <xf numFmtId="0" fontId="13" fillId="11" borderId="18" applyAlignment="1" pivotButton="0" quotePrefix="0" xfId="0">
      <alignment vertical="center"/>
    </xf>
    <xf numFmtId="0" fontId="13" fillId="9" borderId="14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14" fillId="7" borderId="24" applyAlignment="1" pivotButton="0" quotePrefix="0" xfId="0">
      <alignment vertical="center"/>
    </xf>
    <xf numFmtId="0" fontId="0" fillId="7" borderId="25" applyAlignment="1" pivotButton="0" quotePrefix="0" xfId="0">
      <alignment vertical="center"/>
    </xf>
    <xf numFmtId="0" fontId="14" fillId="7" borderId="25" applyAlignment="1" pivotButton="0" quotePrefix="0" xfId="0">
      <alignment horizontal="center" vertical="center"/>
    </xf>
    <xf numFmtId="3" fontId="14" fillId="7" borderId="25" applyAlignment="1" pivotButton="0" quotePrefix="0" xfId="0">
      <alignment horizontal="right" vertical="center"/>
    </xf>
    <xf numFmtId="0" fontId="0" fillId="7" borderId="2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7" borderId="6" applyAlignment="1" pivotButton="0" quotePrefix="0" xfId="0">
      <alignment horizontal="center" vertical="center"/>
    </xf>
    <xf numFmtId="0" fontId="12" fillId="11" borderId="8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3" fontId="12" fillId="11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/>
    </xf>
    <xf numFmtId="0" fontId="16" fillId="0" borderId="28" pivotButton="0" quotePrefix="0" xfId="0"/>
    <xf numFmtId="0" fontId="12" fillId="6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1" fillId="0" borderId="31" applyAlignment="1" pivotButton="0" quotePrefix="0" xfId="0">
      <alignment horizontal="center"/>
    </xf>
    <xf numFmtId="0" fontId="16" fillId="0" borderId="32" pivotButton="0" quotePrefix="0" xfId="0"/>
    <xf numFmtId="49" fontId="11" fillId="0" borderId="2" applyAlignment="1" pivotButton="0" quotePrefix="0" xfId="0">
      <alignment horizontal="center" vertical="center"/>
    </xf>
    <xf numFmtId="49" fontId="11" fillId="0" borderId="3" applyAlignment="1" pivotButton="0" quotePrefix="0" xfId="0">
      <alignment horizontal="center" vertical="center"/>
    </xf>
    <xf numFmtId="0" fontId="17" fillId="7" borderId="33" applyAlignment="1" pivotButton="0" quotePrefix="0" xfId="0">
      <alignment horizontal="center" vertical="center"/>
    </xf>
    <xf numFmtId="0" fontId="9" fillId="7" borderId="34" applyAlignment="1" pivotButton="0" quotePrefix="0" xfId="0">
      <alignment horizontal="center" vertical="center"/>
    </xf>
    <xf numFmtId="166" fontId="11" fillId="0" borderId="35" applyAlignment="1" pivotButton="0" quotePrefix="0" xfId="0">
      <alignment horizontal="center" vertical="center"/>
    </xf>
    <xf numFmtId="0" fontId="18" fillId="12" borderId="36" applyAlignment="1" pivotButton="0" quotePrefix="0" xfId="0">
      <alignment horizontal="center" vertical="center"/>
    </xf>
    <xf numFmtId="3" fontId="18" fillId="12" borderId="36" applyAlignment="1" pivotButton="0" quotePrefix="0" xfId="0">
      <alignment horizontal="right" vertical="center"/>
    </xf>
    <xf numFmtId="0" fontId="18" fillId="12" borderId="17" applyAlignment="1" pivotButton="0" quotePrefix="0" xfId="0">
      <alignment horizontal="center" vertical="center"/>
    </xf>
    <xf numFmtId="166" fontId="12" fillId="11" borderId="37" applyAlignment="1" pivotButton="0" quotePrefix="0" xfId="0">
      <alignment horizontal="center" vertical="center"/>
    </xf>
    <xf numFmtId="0" fontId="19" fillId="11" borderId="37" applyAlignment="1" pivotButton="0" quotePrefix="0" xfId="0">
      <alignment horizontal="center" vertical="center"/>
    </xf>
    <xf numFmtId="3" fontId="19" fillId="11" borderId="37" applyAlignment="1" pivotButton="0" quotePrefix="0" xfId="0">
      <alignment horizontal="right" vertical="center"/>
    </xf>
    <xf numFmtId="0" fontId="19" fillId="11" borderId="1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0" fillId="10" borderId="2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3" fontId="11" fillId="10" borderId="2" applyAlignment="1" pivotButton="0" quotePrefix="0" xfId="0">
      <alignment horizontal="right" vertical="center"/>
    </xf>
    <xf numFmtId="3" fontId="10" fillId="10" borderId="2" applyAlignment="1" pivotButton="0" quotePrefix="0" xfId="0">
      <alignment horizontal="right" vertical="center"/>
    </xf>
    <xf numFmtId="3" fontId="10" fillId="10" borderId="3" applyAlignment="1" pivotButton="0" quotePrefix="0" xfId="0">
      <alignment horizontal="right" vertical="center"/>
    </xf>
    <xf numFmtId="0" fontId="9" fillId="7" borderId="12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7" borderId="1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7" fillId="0" borderId="0" applyAlignment="1" pivotButton="0" quotePrefix="0" xfId="0">
      <alignment horizontal="center"/>
    </xf>
    <xf numFmtId="0" fontId="9" fillId="7" borderId="11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5" fontId="3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21" fillId="0" borderId="48" applyAlignment="1" pivotButton="0" quotePrefix="0" xfId="0">
      <alignment horizontal="center" vertical="center"/>
    </xf>
    <xf numFmtId="0" fontId="22" fillId="13" borderId="48" applyAlignment="1" pivotButton="0" quotePrefix="0" xfId="0">
      <alignment horizontal="center" vertical="center"/>
    </xf>
    <xf numFmtId="0" fontId="23" fillId="14" borderId="48" applyAlignment="1" pivotButton="0" quotePrefix="0" xfId="0">
      <alignment horizontal="center" vertical="center"/>
    </xf>
    <xf numFmtId="0" fontId="0" fillId="14" borderId="48" pivotButton="0" quotePrefix="0" xfId="0"/>
    <xf numFmtId="168" fontId="23" fillId="14" borderId="48" applyAlignment="1" pivotButton="0" quotePrefix="0" xfId="0">
      <alignment horizontal="center" vertical="center"/>
    </xf>
    <xf numFmtId="0" fontId="24" fillId="15" borderId="56" applyAlignment="1" pivotButton="0" quotePrefix="0" xfId="0">
      <alignment horizontal="center" vertical="center"/>
    </xf>
    <xf numFmtId="0" fontId="24" fillId="15" borderId="57" applyAlignment="1" pivotButton="0" quotePrefix="0" xfId="0">
      <alignment horizontal="center" vertical="center"/>
    </xf>
    <xf numFmtId="0" fontId="0" fillId="0" borderId="57" pivotButton="0" quotePrefix="0" xfId="0"/>
    <xf numFmtId="0" fontId="24" fillId="15" borderId="58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48" pivotButton="0" quotePrefix="0" xfId="0"/>
    <xf numFmtId="0" fontId="24" fillId="16" borderId="48" applyAlignment="1" pivotButton="0" quotePrefix="0" xfId="0">
      <alignment horizontal="center" vertical="center"/>
    </xf>
    <xf numFmtId="0" fontId="0" fillId="0" borderId="59" pivotButton="0" quotePrefix="0" xfId="0"/>
    <xf numFmtId="0" fontId="25" fillId="17" borderId="55" applyAlignment="1" pivotButton="0" quotePrefix="0" xfId="0">
      <alignment horizontal="left" vertical="center"/>
    </xf>
    <xf numFmtId="0" fontId="25" fillId="17" borderId="48" applyAlignment="1" pivotButton="0" quotePrefix="0" xfId="0">
      <alignment horizontal="center" vertical="center"/>
    </xf>
    <xf numFmtId="0" fontId="25" fillId="17" borderId="48" applyAlignment="1" pivotButton="0" quotePrefix="0" xfId="0">
      <alignment horizontal="left" vertical="center"/>
    </xf>
    <xf numFmtId="0" fontId="25" fillId="17" borderId="59" applyAlignment="1" pivotButton="0" quotePrefix="0" xfId="0">
      <alignment horizontal="left" vertical="center"/>
    </xf>
    <xf numFmtId="0" fontId="26" fillId="0" borderId="55" applyAlignment="1" pivotButton="0" quotePrefix="0" xfId="0">
      <alignment horizontal="center" vertical="center"/>
    </xf>
    <xf numFmtId="0" fontId="26" fillId="0" borderId="48" applyAlignment="1" pivotButton="0" quotePrefix="0" xfId="0">
      <alignment horizontal="left" vertical="center"/>
    </xf>
    <xf numFmtId="0" fontId="26" fillId="0" borderId="48" applyAlignment="1" pivotButton="0" quotePrefix="0" xfId="0">
      <alignment horizontal="center" vertical="center"/>
    </xf>
    <xf numFmtId="0" fontId="26" fillId="18" borderId="48" applyAlignment="1" pivotButton="0" quotePrefix="0" xfId="0">
      <alignment horizontal="center" vertical="center"/>
    </xf>
    <xf numFmtId="0" fontId="26" fillId="0" borderId="59" applyAlignment="1" pivotButton="0" quotePrefix="0" xfId="0">
      <alignment horizontal="left" vertical="center"/>
    </xf>
    <xf numFmtId="0" fontId="25" fillId="19" borderId="55" applyAlignment="1" pivotButton="0" quotePrefix="0" xfId="0">
      <alignment horizontal="center" vertical="center"/>
    </xf>
    <xf numFmtId="0" fontId="25" fillId="19" borderId="48" applyAlignment="1" pivotButton="0" quotePrefix="0" xfId="0">
      <alignment horizontal="center" vertical="center"/>
    </xf>
    <xf numFmtId="0" fontId="25" fillId="19" borderId="59" applyAlignment="1" pivotButton="0" quotePrefix="0" xfId="0">
      <alignment horizontal="center" vertical="center"/>
    </xf>
    <xf numFmtId="0" fontId="27" fillId="15" borderId="60" applyAlignment="1" pivotButton="0" quotePrefix="0" xfId="0">
      <alignment horizontal="center" vertical="center"/>
    </xf>
    <xf numFmtId="0" fontId="27" fillId="15" borderId="61" applyAlignment="1" pivotButton="0" quotePrefix="0" xfId="0">
      <alignment horizontal="center" vertical="center"/>
    </xf>
    <xf numFmtId="0" fontId="27" fillId="15" borderId="62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6" fillId="0" borderId="55" applyAlignment="1" pivotButton="0" quotePrefix="0" xfId="0">
      <alignment horizontal="left" vertical="center"/>
    </xf>
    <xf numFmtId="0" fontId="26" fillId="0" borderId="59" applyAlignment="1" pivotButton="0" quotePrefix="0" xfId="0">
      <alignment horizontal="center" vertical="center"/>
    </xf>
    <xf numFmtId="0" fontId="25" fillId="19" borderId="60" applyAlignment="1" pivotButton="0" quotePrefix="0" xfId="0">
      <alignment horizontal="left" vertical="center"/>
    </xf>
    <xf numFmtId="0" fontId="25" fillId="19" borderId="61" applyAlignment="1" pivotButton="0" quotePrefix="0" xfId="0">
      <alignment horizontal="center" vertical="center"/>
    </xf>
    <xf numFmtId="0" fontId="25" fillId="19" borderId="62" applyAlignment="1" pivotButton="0" quotePrefix="0" xfId="0">
      <alignment horizontal="center" vertical="center"/>
    </xf>
    <xf numFmtId="0" fontId="22" fillId="13" borderId="56" applyAlignment="1" pivotButton="0" quotePrefix="0" xfId="0">
      <alignment horizontal="center" vertical="center"/>
    </xf>
    <xf numFmtId="0" fontId="22" fillId="13" borderId="57" applyAlignment="1" pivotButton="0" quotePrefix="0" xfId="0">
      <alignment horizontal="center" vertical="center"/>
    </xf>
    <xf numFmtId="0" fontId="0" fillId="0" borderId="58" pivotButton="0" quotePrefix="0" xfId="0"/>
    <xf numFmtId="0" fontId="23" fillId="14" borderId="60" applyAlignment="1" pivotButton="0" quotePrefix="0" xfId="0">
      <alignment horizontal="center" vertical="center"/>
    </xf>
    <xf numFmtId="0" fontId="0" fillId="0" borderId="61" pivotButton="0" quotePrefix="0" xfId="0"/>
    <xf numFmtId="0" fontId="23" fillId="14" borderId="61" applyAlignment="1" pivotButton="0" quotePrefix="0" xfId="0">
      <alignment horizontal="center" vertical="center"/>
    </xf>
    <xf numFmtId="0" fontId="0" fillId="0" borderId="62" pivotButton="0" quotePrefix="0" xfId="0"/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H23" sqref="H23"/>
    </sheetView>
  </sheetViews>
  <sheetFormatPr baseColWidth="8" defaultRowHeight="15" customHeight="1"/>
  <cols>
    <col width="14.35546875" customWidth="1" min="1" max="1"/>
    <col width="9.42578125" customWidth="1" min="2" max="2"/>
    <col width="16" customWidth="1" min="3" max="3"/>
    <col width="10.640625" customWidth="1" min="4" max="4"/>
    <col width="14.5703125" customWidth="1" min="5" max="5"/>
    <col width="8.92578125" customWidth="1" min="6" max="6"/>
    <col width="41.78515625" customWidth="1" min="7" max="7"/>
    <col width="8.92578125" customWidth="1" min="8" max="9"/>
    <col width="9.42578125" customWidth="1" min="10" max="10"/>
    <col width="10.5" customWidth="1" min="11" max="11"/>
    <col width="9.0703125" customWidth="1" min="12" max="12"/>
  </cols>
  <sheetData>
    <row r="1" ht="15" customHeight="1">
      <c r="A1" s="1" t="inlineStr">
        <is>
          <t>일자</t>
        </is>
      </c>
      <c r="B1" s="1" t="inlineStr">
        <is>
          <t>주문명</t>
        </is>
      </c>
      <c r="C1" s="1" t="inlineStr">
        <is>
          <t>프로그램명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구분</t>
        </is>
      </c>
      <c r="G1" s="1" t="inlineStr">
        <is>
          <t>상품내역</t>
        </is>
      </c>
      <c r="H1" s="1" t="inlineStr">
        <is>
          <t>수량</t>
        </is>
      </c>
      <c r="I1" s="1" t="inlineStr">
        <is>
          <t>단위</t>
        </is>
      </c>
      <c r="J1" s="1" t="inlineStr">
        <is>
          <t>공급가액</t>
        </is>
      </c>
      <c r="K1" s="1" t="inlineStr">
        <is>
          <t>부가세</t>
        </is>
      </c>
      <c r="L1" s="1" t="inlineStr">
        <is>
          <t>합계</t>
        </is>
      </c>
    </row>
    <row r="2" ht="15" customHeight="1">
      <c r="A2" s="84" t="inlineStr">
        <is>
          <t>2026-03-04</t>
        </is>
      </c>
      <c r="B2" s="84" t="inlineStr">
        <is>
          <t>소모품</t>
        </is>
      </c>
      <c r="C2" s="84" t="inlineStr">
        <is>
          <t>소모품</t>
        </is>
      </c>
      <c r="D2" s="84" t="inlineStr">
        <is>
          <t>공산품</t>
        </is>
      </c>
      <c r="E2" s="84" t="inlineStr">
        <is>
          <t>[비]세제류</t>
        </is>
      </c>
      <c r="F2" s="84" t="inlineStr">
        <is>
          <t>비식품</t>
        </is>
      </c>
      <c r="G2" s="84" t="inlineStr">
        <is>
          <t>식기세척기용세제,18L,상온,하이코리아</t>
        </is>
      </c>
      <c r="H2" s="85" t="n">
        <v>1</v>
      </c>
      <c r="I2" s="84" t="inlineStr">
        <is>
          <t>통</t>
        </is>
      </c>
      <c r="J2" s="84" t="n">
        <v>14613</v>
      </c>
      <c r="K2" s="84" t="n">
        <v>1461</v>
      </c>
      <c r="L2" s="84" t="n">
        <v>16074</v>
      </c>
    </row>
    <row r="3" ht="15" customHeight="1">
      <c r="A3" s="84" t="inlineStr">
        <is>
          <t>2026-03-04</t>
        </is>
      </c>
      <c r="B3" s="84" t="inlineStr">
        <is>
          <t>소모품</t>
        </is>
      </c>
      <c r="C3" s="84" t="inlineStr">
        <is>
          <t>소모품</t>
        </is>
      </c>
      <c r="D3" s="84" t="inlineStr">
        <is>
          <t>공산품</t>
        </is>
      </c>
      <c r="E3" s="84" t="inlineStr">
        <is>
          <t>[비]세제류</t>
        </is>
      </c>
      <c r="F3" s="84" t="inlineStr">
        <is>
          <t>비식품</t>
        </is>
      </c>
      <c r="G3" s="84" t="inlineStr">
        <is>
          <t>오븐크리너,22kg(18.7L),하이코리아</t>
        </is>
      </c>
      <c r="H3" s="85" t="n">
        <v>1</v>
      </c>
      <c r="I3" s="84" t="inlineStr">
        <is>
          <t>통</t>
        </is>
      </c>
      <c r="J3" s="84" t="n">
        <v>36916</v>
      </c>
      <c r="K3" s="84" t="n">
        <v>3692</v>
      </c>
      <c r="L3" s="84" t="n">
        <v>40608</v>
      </c>
    </row>
    <row r="4" ht="15" customHeight="1">
      <c r="A4" s="84" t="inlineStr">
        <is>
          <t>2026-03-05</t>
        </is>
      </c>
      <c r="B4" s="84" t="inlineStr">
        <is>
          <t>소모품</t>
        </is>
      </c>
      <c r="C4" s="84" t="inlineStr">
        <is>
          <t>소모품</t>
        </is>
      </c>
      <c r="D4" s="84" t="inlineStr">
        <is>
          <t>공산품</t>
        </is>
      </c>
      <c r="E4" s="84" t="inlineStr">
        <is>
          <t>[비]일용잡화류</t>
        </is>
      </c>
      <c r="F4" s="84" t="inlineStr">
        <is>
          <t>비식품</t>
        </is>
      </c>
      <c r="G4" s="84" t="inlineStr">
        <is>
          <t>종이호일,너비:30cm*총길이:20m,롯데</t>
        </is>
      </c>
      <c r="H4" s="85" t="n">
        <v>2</v>
      </c>
      <c r="I4" s="84" t="inlineStr">
        <is>
          <t>개</t>
        </is>
      </c>
      <c r="J4" s="84" t="n">
        <v>3400</v>
      </c>
      <c r="K4" s="84" t="n">
        <v>680</v>
      </c>
      <c r="L4" s="84" t="n">
        <v>7480</v>
      </c>
    </row>
    <row r="5" ht="15" customHeight="1">
      <c r="A5" s="84" t="inlineStr">
        <is>
          <t>2026-03-13</t>
        </is>
      </c>
      <c r="B5" s="84" t="inlineStr">
        <is>
          <t>소모품</t>
        </is>
      </c>
      <c r="C5" s="84" t="inlineStr">
        <is>
          <t>소모품</t>
        </is>
      </c>
      <c r="D5" s="84" t="inlineStr">
        <is>
          <t>공산품</t>
        </is>
      </c>
      <c r="E5" s="84" t="inlineStr">
        <is>
          <t>[비]기타잡화류</t>
        </is>
      </c>
      <c r="F5" s="84" t="inlineStr">
        <is>
          <t>비식품</t>
        </is>
      </c>
      <c r="G5" s="84" t="inlineStr">
        <is>
          <t>니트릴장갑(블루,M),100매,중국산</t>
        </is>
      </c>
      <c r="H5" s="85" t="n">
        <v>5</v>
      </c>
      <c r="I5" s="84" t="inlineStr">
        <is>
          <t>곽</t>
        </is>
      </c>
      <c r="J5" s="84" t="n">
        <v>6351</v>
      </c>
      <c r="K5" s="84" t="n">
        <v>3175</v>
      </c>
      <c r="L5" s="84" t="n">
        <v>34930</v>
      </c>
    </row>
    <row r="6" ht="15" customHeight="1">
      <c r="A6" s="84" t="inlineStr">
        <is>
          <t>2026-03-13</t>
        </is>
      </c>
      <c r="B6" s="84" t="inlineStr">
        <is>
          <t>소모품</t>
        </is>
      </c>
      <c r="C6" s="84" t="inlineStr">
        <is>
          <t>소모품</t>
        </is>
      </c>
      <c r="D6" s="84" t="inlineStr">
        <is>
          <t>공산품</t>
        </is>
      </c>
      <c r="E6" s="84" t="inlineStr">
        <is>
          <t>[비]일용잡화류</t>
        </is>
      </c>
      <c r="F6" s="84" t="inlineStr">
        <is>
          <t>비식품</t>
        </is>
      </c>
      <c r="G6" s="84" t="inlineStr">
        <is>
          <t>미화합동테이블냅킨,약5920매(20cm*10cm),미화합동</t>
        </is>
      </c>
      <c r="H6" s="85" t="n">
        <v>1</v>
      </c>
      <c r="I6" s="84" t="inlineStr">
        <is>
          <t>상자</t>
        </is>
      </c>
      <c r="J6" s="84" t="n">
        <v>13459</v>
      </c>
      <c r="K6" s="84" t="n">
        <v>1346</v>
      </c>
      <c r="L6" s="84" t="n">
        <v>14805</v>
      </c>
    </row>
    <row r="7" ht="15" customHeight="1">
      <c r="A7" s="84" t="inlineStr">
        <is>
          <t>2026-03-13</t>
        </is>
      </c>
      <c r="B7" s="84" t="inlineStr">
        <is>
          <t>소모품</t>
        </is>
      </c>
      <c r="C7" s="84" t="inlineStr">
        <is>
          <t>소모품</t>
        </is>
      </c>
      <c r="D7" s="84" t="inlineStr">
        <is>
          <t>공산품</t>
        </is>
      </c>
      <c r="E7" s="84" t="inlineStr">
        <is>
          <t>[비]일용잡화류</t>
        </is>
      </c>
      <c r="F7" s="84" t="inlineStr">
        <is>
          <t>비식품</t>
        </is>
      </c>
      <c r="G7" s="84" t="inlineStr">
        <is>
          <t>비셰프크린테이블냅킨,9000매(90매*100속),동원</t>
        </is>
      </c>
      <c r="H7" s="85" t="n">
        <v>1</v>
      </c>
      <c r="I7" s="84" t="inlineStr">
        <is>
          <t>상자</t>
        </is>
      </c>
      <c r="J7" s="84" t="n">
        <v>21987</v>
      </c>
      <c r="K7" s="84" t="n">
        <v>2199</v>
      </c>
      <c r="L7" s="84" t="n">
        <v>24186</v>
      </c>
    </row>
    <row r="8" ht="15" customHeight="1">
      <c r="A8" s="84" t="inlineStr">
        <is>
          <t>2026-03-16</t>
        </is>
      </c>
      <c r="B8" s="84" t="inlineStr">
        <is>
          <t>소모품</t>
        </is>
      </c>
      <c r="C8" s="84" t="inlineStr">
        <is>
          <t>소모품</t>
        </is>
      </c>
      <c r="D8" s="84" t="inlineStr">
        <is>
          <t>공산품</t>
        </is>
      </c>
      <c r="E8" s="84" t="inlineStr">
        <is>
          <t>[비]일용잡화류</t>
        </is>
      </c>
      <c r="F8" s="84" t="inlineStr">
        <is>
          <t>비식품</t>
        </is>
      </c>
      <c r="G8" s="84" t="inlineStr">
        <is>
          <t>파트너핸드타올(흰색),5000매</t>
        </is>
      </c>
      <c r="H8" s="85" t="n">
        <v>1</v>
      </c>
      <c r="I8" s="84" t="inlineStr">
        <is>
          <t>상자</t>
        </is>
      </c>
      <c r="J8" s="84" t="n">
        <v>28295</v>
      </c>
      <c r="K8" s="84" t="n">
        <v>2829</v>
      </c>
      <c r="L8" s="84" t="n">
        <v>31124</v>
      </c>
    </row>
    <row r="9" ht="15" customHeight="1">
      <c r="A9" s="84" t="inlineStr">
        <is>
          <t>2026-03-17</t>
        </is>
      </c>
      <c r="B9" s="84" t="inlineStr">
        <is>
          <t>소모품</t>
        </is>
      </c>
      <c r="C9" s="84" t="inlineStr">
        <is>
          <t>소모품</t>
        </is>
      </c>
      <c r="D9" s="84" t="inlineStr">
        <is>
          <t>공산품</t>
        </is>
      </c>
      <c r="E9" s="84" t="inlineStr">
        <is>
          <t>[비]일용잡화류</t>
        </is>
      </c>
      <c r="F9" s="84" t="inlineStr">
        <is>
          <t>비식품</t>
        </is>
      </c>
      <c r="G9" s="84" t="inlineStr">
        <is>
          <t>롤백(중),30*40cm,약500장,한마음</t>
        </is>
      </c>
      <c r="H9" s="85" t="n">
        <v>3</v>
      </c>
      <c r="I9" s="84" t="inlineStr">
        <is>
          <t>개</t>
        </is>
      </c>
      <c r="J9" s="84" t="n">
        <v>6900</v>
      </c>
      <c r="K9" s="84" t="n">
        <v>2070</v>
      </c>
      <c r="L9" s="84" t="n">
        <v>22770</v>
      </c>
    </row>
    <row r="10" ht="15" customHeight="1">
      <c r="A10" s="84" t="inlineStr">
        <is>
          <t>2026-03-17</t>
        </is>
      </c>
      <c r="B10" s="84" t="inlineStr">
        <is>
          <t>소모품</t>
        </is>
      </c>
      <c r="C10" s="84" t="inlineStr">
        <is>
          <t>소모품</t>
        </is>
      </c>
      <c r="D10" s="84" t="inlineStr">
        <is>
          <t>공산품</t>
        </is>
      </c>
      <c r="E10" s="84" t="inlineStr">
        <is>
          <t>[비]세제류</t>
        </is>
      </c>
      <c r="F10" s="84" t="inlineStr">
        <is>
          <t>비식품</t>
        </is>
      </c>
      <c r="G10" s="84" t="inlineStr">
        <is>
          <t>식기세척기용세제,18L,상온,하이코리아</t>
        </is>
      </c>
      <c r="H10" s="85" t="n">
        <v>1</v>
      </c>
      <c r="I10" s="84" t="inlineStr">
        <is>
          <t>통</t>
        </is>
      </c>
      <c r="J10" s="84" t="n">
        <v>14613</v>
      </c>
      <c r="K10" s="84" t="n">
        <v>1461</v>
      </c>
      <c r="L10" s="84" t="n">
        <v>16074</v>
      </c>
    </row>
    <row r="11" ht="15" customHeight="1">
      <c r="A11" s="84" t="inlineStr">
        <is>
          <t>2026-03-17</t>
        </is>
      </c>
      <c r="B11" s="84" t="inlineStr">
        <is>
          <t>소모품</t>
        </is>
      </c>
      <c r="C11" s="84" t="inlineStr">
        <is>
          <t>소모품</t>
        </is>
      </c>
      <c r="D11" s="84" t="inlineStr">
        <is>
          <t>공산품</t>
        </is>
      </c>
      <c r="E11" s="84" t="inlineStr">
        <is>
          <t>[비]세제류</t>
        </is>
      </c>
      <c r="F11" s="84" t="inlineStr">
        <is>
          <t>비식품</t>
        </is>
      </c>
      <c r="G11" s="84" t="inlineStr">
        <is>
          <t>자동식기세척기용린스,18L,상온,하이코리아</t>
        </is>
      </c>
      <c r="H11" s="85" t="n">
        <v>1</v>
      </c>
      <c r="I11" s="84" t="inlineStr">
        <is>
          <t>통</t>
        </is>
      </c>
      <c r="J11" s="84" t="n">
        <v>14613</v>
      </c>
      <c r="K11" s="84" t="n">
        <v>1461</v>
      </c>
      <c r="L11" s="84" t="n">
        <v>16074</v>
      </c>
    </row>
    <row r="12" ht="15" customHeight="1">
      <c r="A12" s="84" t="inlineStr">
        <is>
          <t>2026-03-20</t>
        </is>
      </c>
      <c r="B12" s="84" t="inlineStr">
        <is>
          <t>소모품</t>
        </is>
      </c>
      <c r="C12" s="84" t="inlineStr">
        <is>
          <t>소모품</t>
        </is>
      </c>
      <c r="D12" s="84" t="inlineStr">
        <is>
          <t>공산품</t>
        </is>
      </c>
      <c r="E12" s="84" t="inlineStr">
        <is>
          <t>[비]세제류</t>
        </is>
      </c>
      <c r="F12" s="84" t="inlineStr">
        <is>
          <t>비식품</t>
        </is>
      </c>
      <c r="G12" s="84" t="inlineStr">
        <is>
          <t>부라보트리오,12kg(11.7L),애경</t>
        </is>
      </c>
      <c r="H12" s="85" t="n">
        <v>1</v>
      </c>
      <c r="I12" s="84" t="inlineStr">
        <is>
          <t>통</t>
        </is>
      </c>
      <c r="J12" s="84" t="n">
        <v>18920</v>
      </c>
      <c r="K12" s="84" t="n">
        <v>1892</v>
      </c>
      <c r="L12" s="84" t="n">
        <v>20812</v>
      </c>
    </row>
    <row r="13" ht="15" customHeight="1">
      <c r="A13" s="84" t="inlineStr">
        <is>
          <t>2026-03-30</t>
        </is>
      </c>
      <c r="B13" s="84" t="inlineStr">
        <is>
          <t>소모품</t>
        </is>
      </c>
      <c r="C13" s="84" t="inlineStr">
        <is>
          <t>소모품</t>
        </is>
      </c>
      <c r="D13" s="84" t="inlineStr">
        <is>
          <t>공산품</t>
        </is>
      </c>
      <c r="E13" s="84" t="inlineStr">
        <is>
          <t>[비]세제류</t>
        </is>
      </c>
      <c r="F13" s="84" t="inlineStr">
        <is>
          <t>비식품</t>
        </is>
      </c>
      <c r="G13" s="84" t="inlineStr">
        <is>
          <t>기름때쏙빼는담금세제(S345),20kg,상온</t>
        </is>
      </c>
      <c r="H13" s="85" t="n">
        <v>1</v>
      </c>
      <c r="I13" s="84" t="inlineStr">
        <is>
          <t>통</t>
        </is>
      </c>
      <c r="J13" s="84" t="n">
        <v>65177</v>
      </c>
      <c r="K13" s="84" t="n">
        <v>6518</v>
      </c>
      <c r="L13" s="84" t="n">
        <v>71695</v>
      </c>
    </row>
    <row r="14" ht="15" customHeight="1">
      <c r="A14" s="84" t="inlineStr">
        <is>
          <t>2026-03-30</t>
        </is>
      </c>
      <c r="B14" s="84" t="inlineStr">
        <is>
          <t>소모품</t>
        </is>
      </c>
      <c r="C14" s="84" t="inlineStr">
        <is>
          <t>소모품</t>
        </is>
      </c>
      <c r="D14" s="84" t="inlineStr">
        <is>
          <t>공산품</t>
        </is>
      </c>
      <c r="E14" s="84" t="inlineStr">
        <is>
          <t>[비]세제류</t>
        </is>
      </c>
      <c r="F14" s="84" t="inlineStr">
        <is>
          <t>비식품</t>
        </is>
      </c>
      <c r="G14" s="84" t="inlineStr">
        <is>
          <t>식기세척기용세제,18L,상온,하이코리아</t>
        </is>
      </c>
      <c r="H14" s="85" t="n">
        <v>1</v>
      </c>
      <c r="I14" s="84" t="inlineStr">
        <is>
          <t>통</t>
        </is>
      </c>
      <c r="J14" s="84" t="n">
        <v>14613</v>
      </c>
      <c r="K14" s="84" t="n">
        <v>1461</v>
      </c>
      <c r="L14" s="84" t="n">
        <v>16074</v>
      </c>
    </row>
    <row r="15" ht="15" customHeight="1">
      <c r="A15" s="84" t="inlineStr">
        <is>
          <t>2026-03-30</t>
        </is>
      </c>
      <c r="B15" s="84" t="inlineStr">
        <is>
          <t>소모품</t>
        </is>
      </c>
      <c r="C15" s="84" t="inlineStr">
        <is>
          <t>소모품</t>
        </is>
      </c>
      <c r="D15" s="84" t="inlineStr">
        <is>
          <t>공산품</t>
        </is>
      </c>
      <c r="E15" s="84" t="inlineStr">
        <is>
          <t>[비]세제류</t>
        </is>
      </c>
      <c r="F15" s="84" t="inlineStr">
        <is>
          <t>비식품</t>
        </is>
      </c>
      <c r="G15" s="84" t="inlineStr">
        <is>
          <t>자동식기세척기용린스,18L,상온,하이코리아</t>
        </is>
      </c>
      <c r="H15" s="85" t="n">
        <v>1</v>
      </c>
      <c r="I15" s="84" t="inlineStr">
        <is>
          <t>통</t>
        </is>
      </c>
      <c r="J15" s="84" t="n">
        <v>14613</v>
      </c>
      <c r="K15" s="84" t="n">
        <v>1461</v>
      </c>
      <c r="L15" s="84" t="n">
        <v>16074</v>
      </c>
    </row>
    <row r="16" ht="15" customHeight="1">
      <c r="A16" s="84" t="inlineStr">
        <is>
          <t>2026-03-30</t>
        </is>
      </c>
      <c r="B16" s="84" t="inlineStr">
        <is>
          <t>소모품</t>
        </is>
      </c>
      <c r="C16" s="84" t="inlineStr">
        <is>
          <t>소모품</t>
        </is>
      </c>
      <c r="D16" s="84" t="inlineStr">
        <is>
          <t>공산품</t>
        </is>
      </c>
      <c r="E16" s="84" t="inlineStr">
        <is>
          <t>[비]세제류</t>
        </is>
      </c>
      <c r="F16" s="84" t="inlineStr">
        <is>
          <t>비식품</t>
        </is>
      </c>
      <c r="G16" s="84" t="inlineStr">
        <is>
          <t>하이토피아A520(스케일제거제),20kg,상온</t>
        </is>
      </c>
      <c r="H16" s="85" t="n">
        <v>1</v>
      </c>
      <c r="I16" s="84" t="inlineStr">
        <is>
          <t>통</t>
        </is>
      </c>
      <c r="J16" s="84" t="n">
        <v>44133</v>
      </c>
      <c r="K16" s="84" t="n">
        <v>4413</v>
      </c>
      <c r="L16" s="84" t="n">
        <v>48546</v>
      </c>
    </row>
    <row r="17" ht="15" customHeight="1">
      <c r="A17" s="84" t="inlineStr">
        <is>
          <t>2026-03-31</t>
        </is>
      </c>
      <c r="B17" s="84" t="inlineStr">
        <is>
          <t>소모품</t>
        </is>
      </c>
      <c r="C17" s="84" t="inlineStr">
        <is>
          <t>소모품</t>
        </is>
      </c>
      <c r="D17" s="84" t="inlineStr">
        <is>
          <t>공산품</t>
        </is>
      </c>
      <c r="E17" s="84" t="inlineStr">
        <is>
          <t>[비]세제류</t>
        </is>
      </c>
      <c r="F17" s="84" t="inlineStr">
        <is>
          <t>비식품</t>
        </is>
      </c>
      <c r="G17" s="84" t="inlineStr">
        <is>
          <t>유지방제거제,4L</t>
        </is>
      </c>
      <c r="H17" s="85" t="n">
        <v>4</v>
      </c>
      <c r="I17" s="84" t="inlineStr">
        <is>
          <t>통</t>
        </is>
      </c>
      <c r="J17" s="84" t="n">
        <v>14295</v>
      </c>
      <c r="K17" s="84" t="n">
        <v>5720</v>
      </c>
      <c r="L17" s="84" t="n">
        <v>62900</v>
      </c>
    </row>
    <row r="18" ht="15" customHeight="1">
      <c r="A18" s="86" t="n"/>
      <c r="B18" s="86" t="n"/>
      <c r="C18" s="86" t="n"/>
      <c r="D18" s="86" t="n"/>
      <c r="E18" s="86" t="n"/>
      <c r="F18" s="86" t="n"/>
      <c r="G18" s="86" t="n"/>
      <c r="H18" s="87" t="inlineStr">
        <is>
          <t>26.0</t>
        </is>
      </c>
      <c r="I18" s="86" t="n"/>
      <c r="J18" s="86" t="n"/>
      <c r="K18" s="86" t="n"/>
      <c r="L18" s="88" t="inlineStr">
        <is>
          <t>460,226</t>
        </is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8.5" customWidth="1" min="1" max="1"/>
    <col width="13.5" customWidth="1" min="2" max="2"/>
    <col width="25" customWidth="1" min="3" max="3"/>
    <col width="19" customWidth="1" min="4" max="4"/>
    <col width="6.7" customWidth="1" min="5" max="5"/>
    <col width="7.5" customWidth="1" min="6" max="6"/>
    <col width="12" customWidth="1" min="7" max="7"/>
    <col width="9.5" customWidth="1" min="8" max="8"/>
    <col width="12" customWidth="1" min="9" max="9"/>
    <col width="9.5" customWidth="1" min="10" max="10"/>
    <col width="7.5" customWidth="1" min="11" max="11"/>
    <col width="16" customWidth="1" min="12" max="12"/>
  </cols>
  <sheetData>
    <row r="1" ht="40" customHeight="1">
      <c r="A1" s="89" t="inlineStr">
        <is>
          <t>소 모 품  수 불 부</t>
        </is>
      </c>
    </row>
    <row r="2" ht="8" customHeight="1"/>
    <row r="3" ht="22" customHeight="1">
      <c r="A3" s="90" t="inlineStr">
        <is>
          <t>관리부서</t>
        </is>
      </c>
      <c r="B3" s="91" t="inlineStr">
        <is>
          <t>식품부</t>
        </is>
      </c>
      <c r="C3" s="92" t="n"/>
      <c r="D3" s="90" t="inlineStr">
        <is>
          <t>관리기간</t>
        </is>
      </c>
      <c r="E3" s="91" t="inlineStr">
        <is>
          <t>2026년 3월</t>
        </is>
      </c>
      <c r="F3" s="92" t="n"/>
      <c r="G3" s="90" t="inlineStr">
        <is>
          <t>작성일</t>
        </is>
      </c>
      <c r="H3" s="93" t="n">
        <v>46128.6104563205</v>
      </c>
      <c r="I3" s="92" t="n"/>
    </row>
    <row r="4" ht="6" customHeight="1"/>
    <row r="5" ht="22" customHeight="1">
      <c r="A5" s="94" t="inlineStr">
        <is>
          <t>No.</t>
        </is>
      </c>
      <c r="B5" s="95" t="inlineStr">
        <is>
          <t>분류</t>
        </is>
      </c>
      <c r="C5" s="95" t="inlineStr">
        <is>
          <t>품목명</t>
        </is>
      </c>
      <c r="D5" s="95" t="inlineStr">
        <is>
          <t>규격</t>
        </is>
      </c>
      <c r="E5" s="95" t="inlineStr">
        <is>
          <t>단위</t>
        </is>
      </c>
      <c r="F5" s="95" t="inlineStr">
        <is>
          <t>전월이월</t>
        </is>
      </c>
      <c r="G5" s="95" t="inlineStr">
        <is>
          <t>출고 (사용)</t>
        </is>
      </c>
      <c r="H5" s="96" t="n"/>
      <c r="I5" s="95" t="inlineStr">
        <is>
          <t>입고 (구매)</t>
        </is>
      </c>
      <c r="J5" s="96" t="n"/>
      <c r="K5" s="95" t="inlineStr">
        <is>
          <t>재고</t>
        </is>
      </c>
      <c r="L5" s="97" t="inlineStr">
        <is>
          <t>비고</t>
        </is>
      </c>
    </row>
    <row r="6" ht="20" customHeight="1">
      <c r="A6" s="98" t="n"/>
      <c r="B6" s="99" t="n"/>
      <c r="C6" s="99" t="n"/>
      <c r="D6" s="99" t="n"/>
      <c r="E6" s="99" t="n"/>
      <c r="F6" s="100" t="inlineStr">
        <is>
          <t>수량</t>
        </is>
      </c>
      <c r="G6" s="100" t="inlineStr">
        <is>
          <t>일자</t>
        </is>
      </c>
      <c r="H6" s="100" t="inlineStr">
        <is>
          <t>수량</t>
        </is>
      </c>
      <c r="I6" s="100" t="inlineStr">
        <is>
          <t>일자</t>
        </is>
      </c>
      <c r="J6" s="100" t="inlineStr">
        <is>
          <t>수량</t>
        </is>
      </c>
      <c r="K6" s="99" t="n"/>
      <c r="L6" s="101" t="n"/>
    </row>
    <row r="7" ht="20" customHeight="1">
      <c r="A7" s="102" t="n"/>
      <c r="B7" s="103" t="inlineStr">
        <is>
          <t>세제류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5" t="n"/>
    </row>
    <row r="8" ht="20" customHeight="1">
      <c r="A8" s="106" t="n">
        <v>1</v>
      </c>
      <c r="B8" s="107" t="inlineStr">
        <is>
          <t>세제류</t>
        </is>
      </c>
      <c r="C8" s="107" t="inlineStr">
        <is>
          <t>식기세척기용세제</t>
        </is>
      </c>
      <c r="D8" s="107" t="inlineStr">
        <is>
          <t>18L, 하이코리아</t>
        </is>
      </c>
      <c r="E8" s="108" t="inlineStr">
        <is>
          <t>통</t>
        </is>
      </c>
      <c r="F8" s="109" t="n"/>
      <c r="G8" s="109" t="inlineStr">
        <is>
          <t>03/03</t>
        </is>
      </c>
      <c r="H8" s="109" t="n">
        <v>1</v>
      </c>
      <c r="I8" s="108" t="inlineStr">
        <is>
          <t>03/04</t>
        </is>
      </c>
      <c r="J8" s="108" t="n">
        <v>1</v>
      </c>
      <c r="K8" s="109">
        <f>F8+H8-J8</f>
        <v/>
      </c>
      <c r="L8" s="110" t="n"/>
    </row>
    <row r="9" ht="20" customHeight="1">
      <c r="A9" s="106" t="n">
        <v>2</v>
      </c>
      <c r="B9" s="107" t="inlineStr">
        <is>
          <t>세제류</t>
        </is>
      </c>
      <c r="C9" s="107" t="inlineStr">
        <is>
          <t>오븐크리너</t>
        </is>
      </c>
      <c r="D9" s="107" t="inlineStr">
        <is>
          <t>22kg(18.7L), 하이코리아</t>
        </is>
      </c>
      <c r="E9" s="108" t="inlineStr">
        <is>
          <t>통</t>
        </is>
      </c>
      <c r="F9" s="109" t="n"/>
      <c r="G9" s="109" t="inlineStr">
        <is>
          <t>03/03</t>
        </is>
      </c>
      <c r="H9" s="109" t="n">
        <v>1</v>
      </c>
      <c r="I9" s="108" t="inlineStr">
        <is>
          <t>03/04</t>
        </is>
      </c>
      <c r="J9" s="108" t="n">
        <v>1</v>
      </c>
      <c r="K9" s="109">
        <f>F9+H9-J9</f>
        <v/>
      </c>
      <c r="L9" s="110" t="n"/>
    </row>
    <row r="10" ht="20" customHeight="1">
      <c r="A10" s="106" t="n">
        <v>3</v>
      </c>
      <c r="B10" s="107" t="inlineStr">
        <is>
          <t>세제류</t>
        </is>
      </c>
      <c r="C10" s="107" t="inlineStr">
        <is>
          <t>식기세척기용세제</t>
        </is>
      </c>
      <c r="D10" s="107" t="inlineStr">
        <is>
          <t>18L, 하이코리아</t>
        </is>
      </c>
      <c r="E10" s="108" t="inlineStr">
        <is>
          <t>통</t>
        </is>
      </c>
      <c r="F10" s="109" t="n"/>
      <c r="G10" s="109" t="inlineStr">
        <is>
          <t>03/16</t>
        </is>
      </c>
      <c r="H10" s="109" t="n">
        <v>1</v>
      </c>
      <c r="I10" s="108" t="inlineStr">
        <is>
          <t>03/17</t>
        </is>
      </c>
      <c r="J10" s="108" t="n">
        <v>1</v>
      </c>
      <c r="K10" s="109">
        <f>F10+H10-J10</f>
        <v/>
      </c>
      <c r="L10" s="110" t="n"/>
    </row>
    <row r="11" ht="20" customHeight="1">
      <c r="A11" s="106" t="n">
        <v>4</v>
      </c>
      <c r="B11" s="107" t="inlineStr">
        <is>
          <t>세제류</t>
        </is>
      </c>
      <c r="C11" s="107" t="inlineStr">
        <is>
          <t>자동식기세척기용린스</t>
        </is>
      </c>
      <c r="D11" s="107" t="inlineStr">
        <is>
          <t>18L, 하이코리아</t>
        </is>
      </c>
      <c r="E11" s="108" t="inlineStr">
        <is>
          <t>통</t>
        </is>
      </c>
      <c r="F11" s="109" t="n"/>
      <c r="G11" s="109" t="inlineStr">
        <is>
          <t>03/16</t>
        </is>
      </c>
      <c r="H11" s="109" t="n">
        <v>1</v>
      </c>
      <c r="I11" s="108" t="inlineStr">
        <is>
          <t>03/17</t>
        </is>
      </c>
      <c r="J11" s="108" t="n">
        <v>1</v>
      </c>
      <c r="K11" s="109">
        <f>F11+H11-J11</f>
        <v/>
      </c>
      <c r="L11" s="110" t="n"/>
    </row>
    <row r="12" ht="20" customHeight="1">
      <c r="A12" s="106" t="n">
        <v>5</v>
      </c>
      <c r="B12" s="107" t="inlineStr">
        <is>
          <t>세제류</t>
        </is>
      </c>
      <c r="C12" s="107" t="inlineStr">
        <is>
          <t>부라보트리오</t>
        </is>
      </c>
      <c r="D12" s="107" t="inlineStr">
        <is>
          <t>12kg(11.7L), 애경</t>
        </is>
      </c>
      <c r="E12" s="108" t="inlineStr">
        <is>
          <t>통</t>
        </is>
      </c>
      <c r="F12" s="109" t="n"/>
      <c r="G12" s="109" t="inlineStr">
        <is>
          <t>03/19</t>
        </is>
      </c>
      <c r="H12" s="109" t="n">
        <v>1</v>
      </c>
      <c r="I12" s="108" t="inlineStr">
        <is>
          <t>03/20</t>
        </is>
      </c>
      <c r="J12" s="108" t="n">
        <v>1</v>
      </c>
      <c r="K12" s="109">
        <f>F12+H12-J12</f>
        <v/>
      </c>
      <c r="L12" s="110" t="n"/>
    </row>
    <row r="13" ht="20" customHeight="1">
      <c r="A13" s="106" t="n">
        <v>6</v>
      </c>
      <c r="B13" s="107" t="inlineStr">
        <is>
          <t>세제류</t>
        </is>
      </c>
      <c r="C13" s="107" t="inlineStr">
        <is>
          <t>기름때쏙빼는담금세제(S345)</t>
        </is>
      </c>
      <c r="D13" s="107" t="inlineStr">
        <is>
          <t>20kg</t>
        </is>
      </c>
      <c r="E13" s="108" t="inlineStr">
        <is>
          <t>통</t>
        </is>
      </c>
      <c r="F13" s="109" t="n"/>
      <c r="G13" s="109" t="inlineStr">
        <is>
          <t>03/29</t>
        </is>
      </c>
      <c r="H13" s="109" t="n">
        <v>1</v>
      </c>
      <c r="I13" s="108" t="inlineStr">
        <is>
          <t>03/30</t>
        </is>
      </c>
      <c r="J13" s="108" t="n">
        <v>1</v>
      </c>
      <c r="K13" s="109">
        <f>F13+H13-J13</f>
        <v/>
      </c>
      <c r="L13" s="110" t="n"/>
    </row>
    <row r="14" ht="20" customHeight="1">
      <c r="A14" s="106" t="n">
        <v>7</v>
      </c>
      <c r="B14" s="107" t="inlineStr">
        <is>
          <t>세제류</t>
        </is>
      </c>
      <c r="C14" s="107" t="inlineStr">
        <is>
          <t>식기세척기용세제</t>
        </is>
      </c>
      <c r="D14" s="107" t="inlineStr">
        <is>
          <t>18L, 하이코리아</t>
        </is>
      </c>
      <c r="E14" s="108" t="inlineStr">
        <is>
          <t>통</t>
        </is>
      </c>
      <c r="F14" s="109" t="n"/>
      <c r="G14" s="109" t="inlineStr">
        <is>
          <t>03/29</t>
        </is>
      </c>
      <c r="H14" s="109" t="n">
        <v>1</v>
      </c>
      <c r="I14" s="108" t="inlineStr">
        <is>
          <t>03/30</t>
        </is>
      </c>
      <c r="J14" s="108" t="n">
        <v>1</v>
      </c>
      <c r="K14" s="109">
        <f>F14+H14-J14</f>
        <v/>
      </c>
      <c r="L14" s="110" t="n"/>
    </row>
    <row r="15" ht="20" customHeight="1">
      <c r="A15" s="106" t="n">
        <v>8</v>
      </c>
      <c r="B15" s="107" t="inlineStr">
        <is>
          <t>세제류</t>
        </is>
      </c>
      <c r="C15" s="107" t="inlineStr">
        <is>
          <t>자동식기세척기용린스</t>
        </is>
      </c>
      <c r="D15" s="107" t="inlineStr">
        <is>
          <t>18L, 하이코리아</t>
        </is>
      </c>
      <c r="E15" s="108" t="inlineStr">
        <is>
          <t>통</t>
        </is>
      </c>
      <c r="F15" s="109" t="n"/>
      <c r="G15" s="109" t="inlineStr">
        <is>
          <t>03/29</t>
        </is>
      </c>
      <c r="H15" s="109" t="n">
        <v>1</v>
      </c>
      <c r="I15" s="108" t="inlineStr">
        <is>
          <t>03/30</t>
        </is>
      </c>
      <c r="J15" s="108" t="n">
        <v>1</v>
      </c>
      <c r="K15" s="109">
        <f>F15+H15-J15</f>
        <v/>
      </c>
      <c r="L15" s="110" t="n"/>
    </row>
    <row r="16" ht="20" customHeight="1">
      <c r="A16" s="106" t="n">
        <v>9</v>
      </c>
      <c r="B16" s="107" t="inlineStr">
        <is>
          <t>세제류</t>
        </is>
      </c>
      <c r="C16" s="107" t="inlineStr">
        <is>
          <t>하이토피아A520(스케일제거제)</t>
        </is>
      </c>
      <c r="D16" s="107" t="inlineStr">
        <is>
          <t>20kg</t>
        </is>
      </c>
      <c r="E16" s="108" t="inlineStr">
        <is>
          <t>통</t>
        </is>
      </c>
      <c r="F16" s="109" t="n"/>
      <c r="G16" s="109" t="inlineStr">
        <is>
          <t>03/29</t>
        </is>
      </c>
      <c r="H16" s="109" t="n">
        <v>1</v>
      </c>
      <c r="I16" s="108" t="inlineStr">
        <is>
          <t>03/30</t>
        </is>
      </c>
      <c r="J16" s="108" t="n">
        <v>1</v>
      </c>
      <c r="K16" s="109">
        <f>F16+H16-J16</f>
        <v/>
      </c>
      <c r="L16" s="110" t="n"/>
    </row>
    <row r="17" ht="20" customHeight="1">
      <c r="A17" s="106" t="n">
        <v>10</v>
      </c>
      <c r="B17" s="107" t="inlineStr">
        <is>
          <t>세제류</t>
        </is>
      </c>
      <c r="C17" s="107" t="inlineStr">
        <is>
          <t>유지방제거제</t>
        </is>
      </c>
      <c r="D17" s="107" t="inlineStr">
        <is>
          <t>4L</t>
        </is>
      </c>
      <c r="E17" s="108" t="inlineStr">
        <is>
          <t>통</t>
        </is>
      </c>
      <c r="F17" s="109" t="n"/>
      <c r="G17" s="109" t="inlineStr">
        <is>
          <t>03/30</t>
        </is>
      </c>
      <c r="H17" s="109" t="n">
        <v>4</v>
      </c>
      <c r="I17" s="108" t="inlineStr">
        <is>
          <t>03/31</t>
        </is>
      </c>
      <c r="J17" s="108" t="n">
        <v>4</v>
      </c>
      <c r="K17" s="109">
        <f>F17+H17-J17</f>
        <v/>
      </c>
      <c r="L17" s="110" t="n"/>
    </row>
    <row r="18" ht="20" customHeight="1">
      <c r="A18" s="111" t="n"/>
      <c r="B18" s="112" t="n"/>
      <c r="C18" s="112" t="inlineStr">
        <is>
          <t>세제류 소계</t>
        </is>
      </c>
      <c r="D18" s="112" t="n"/>
      <c r="E18" s="112" t="n"/>
      <c r="F18" s="112" t="n"/>
      <c r="G18" s="112" t="n"/>
      <c r="H18" s="112">
        <f>SUM(H8:H17)</f>
        <v/>
      </c>
      <c r="I18" s="112" t="n"/>
      <c r="J18" s="112">
        <f>SUM(J8:J17)</f>
        <v/>
      </c>
      <c r="K18" s="112">
        <f>SUM(K8:K17)</f>
        <v/>
      </c>
      <c r="L18" s="113" t="n"/>
    </row>
    <row r="19" ht="20" customHeight="1">
      <c r="A19" s="102" t="n"/>
      <c r="B19" s="103" t="inlineStr">
        <is>
          <t>일용잡화류</t>
        </is>
      </c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5" t="n"/>
    </row>
    <row r="20" ht="20" customHeight="1">
      <c r="A20" s="106" t="n">
        <v>11</v>
      </c>
      <c r="B20" s="107" t="inlineStr">
        <is>
          <t>일용잡화류</t>
        </is>
      </c>
      <c r="C20" s="107" t="inlineStr">
        <is>
          <t>종이호일</t>
        </is>
      </c>
      <c r="D20" s="107" t="inlineStr">
        <is>
          <t>너비:30cm*총길이:20m, 롯데</t>
        </is>
      </c>
      <c r="E20" s="108" t="inlineStr">
        <is>
          <t>개</t>
        </is>
      </c>
      <c r="F20" s="109" t="n"/>
      <c r="G20" s="109" t="inlineStr">
        <is>
          <t>03/04</t>
        </is>
      </c>
      <c r="H20" s="109" t="n">
        <v>2</v>
      </c>
      <c r="I20" s="108" t="inlineStr">
        <is>
          <t>03/05</t>
        </is>
      </c>
      <c r="J20" s="108" t="n">
        <v>2</v>
      </c>
      <c r="K20" s="109">
        <f>F20+H20-J20</f>
        <v/>
      </c>
      <c r="L20" s="110" t="n"/>
    </row>
    <row r="21" ht="20" customHeight="1">
      <c r="A21" s="106" t="n">
        <v>12</v>
      </c>
      <c r="B21" s="107" t="inlineStr">
        <is>
          <t>일용잡화류</t>
        </is>
      </c>
      <c r="C21" s="107" t="inlineStr">
        <is>
          <t>미화합동테이블냅킨</t>
        </is>
      </c>
      <c r="D21" s="107" t="inlineStr">
        <is>
          <t>약5920매(20cm*10cm), 미화합동</t>
        </is>
      </c>
      <c r="E21" s="108" t="inlineStr">
        <is>
          <t>상자</t>
        </is>
      </c>
      <c r="F21" s="109" t="n"/>
      <c r="G21" s="109" t="inlineStr">
        <is>
          <t>03/12</t>
        </is>
      </c>
      <c r="H21" s="109" t="n">
        <v>1</v>
      </c>
      <c r="I21" s="108" t="inlineStr">
        <is>
          <t>03/13</t>
        </is>
      </c>
      <c r="J21" s="108" t="n">
        <v>1</v>
      </c>
      <c r="K21" s="109">
        <f>F21+H21-J21</f>
        <v/>
      </c>
      <c r="L21" s="110" t="n"/>
    </row>
    <row r="22" ht="20" customHeight="1">
      <c r="A22" s="106" t="n">
        <v>13</v>
      </c>
      <c r="B22" s="107" t="inlineStr">
        <is>
          <t>일용잡화류</t>
        </is>
      </c>
      <c r="C22" s="107" t="inlineStr">
        <is>
          <t>비셰프크린테이블냅킨</t>
        </is>
      </c>
      <c r="D22" s="107" t="inlineStr">
        <is>
          <t>9000매(90매*100속), 동원</t>
        </is>
      </c>
      <c r="E22" s="108" t="inlineStr">
        <is>
          <t>상자</t>
        </is>
      </c>
      <c r="F22" s="109" t="n"/>
      <c r="G22" s="109" t="inlineStr">
        <is>
          <t>03/12</t>
        </is>
      </c>
      <c r="H22" s="109" t="n">
        <v>1</v>
      </c>
      <c r="I22" s="108" t="inlineStr">
        <is>
          <t>03/13</t>
        </is>
      </c>
      <c r="J22" s="108" t="n">
        <v>1</v>
      </c>
      <c r="K22" s="109">
        <f>F22+H22-J22</f>
        <v/>
      </c>
      <c r="L22" s="110" t="n"/>
    </row>
    <row r="23" ht="20" customHeight="1">
      <c r="A23" s="106" t="n">
        <v>14</v>
      </c>
      <c r="B23" s="107" t="inlineStr">
        <is>
          <t>일용잡화류</t>
        </is>
      </c>
      <c r="C23" s="107" t="inlineStr">
        <is>
          <t>파트너핸드타올(흰색)</t>
        </is>
      </c>
      <c r="D23" s="107" t="inlineStr">
        <is>
          <t>5000매</t>
        </is>
      </c>
      <c r="E23" s="108" t="inlineStr">
        <is>
          <t>상자</t>
        </is>
      </c>
      <c r="F23" s="109" t="n"/>
      <c r="G23" s="109" t="inlineStr">
        <is>
          <t>03/15</t>
        </is>
      </c>
      <c r="H23" s="109" t="n">
        <v>1</v>
      </c>
      <c r="I23" s="108" t="inlineStr">
        <is>
          <t>03/16</t>
        </is>
      </c>
      <c r="J23" s="108" t="n">
        <v>1</v>
      </c>
      <c r="K23" s="109">
        <f>F23+H23-J23</f>
        <v/>
      </c>
      <c r="L23" s="110" t="n"/>
    </row>
    <row r="24" ht="20" customHeight="1">
      <c r="A24" s="106" t="n">
        <v>15</v>
      </c>
      <c r="B24" s="107" t="inlineStr">
        <is>
          <t>일용잡화류</t>
        </is>
      </c>
      <c r="C24" s="107" t="inlineStr">
        <is>
          <t>롤백(중)</t>
        </is>
      </c>
      <c r="D24" s="107" t="inlineStr">
        <is>
          <t>30*40cm, 약500장, 한마음</t>
        </is>
      </c>
      <c r="E24" s="108" t="inlineStr">
        <is>
          <t>개</t>
        </is>
      </c>
      <c r="F24" s="109" t="n"/>
      <c r="G24" s="109" t="inlineStr">
        <is>
          <t>03/16</t>
        </is>
      </c>
      <c r="H24" s="109" t="n">
        <v>3</v>
      </c>
      <c r="I24" s="108" t="inlineStr">
        <is>
          <t>03/17</t>
        </is>
      </c>
      <c r="J24" s="108" t="n">
        <v>3</v>
      </c>
      <c r="K24" s="109">
        <f>F24+H24-J24</f>
        <v/>
      </c>
      <c r="L24" s="110" t="n"/>
    </row>
    <row r="25" ht="20" customHeight="1">
      <c r="A25" s="111" t="n"/>
      <c r="B25" s="112" t="n"/>
      <c r="C25" s="112" t="inlineStr">
        <is>
          <t>일용잡화류 소계</t>
        </is>
      </c>
      <c r="D25" s="112" t="n"/>
      <c r="E25" s="112" t="n"/>
      <c r="F25" s="112" t="n"/>
      <c r="G25" s="112" t="n"/>
      <c r="H25" s="112">
        <f>SUM(H20:H24)</f>
        <v/>
      </c>
      <c r="I25" s="112" t="n"/>
      <c r="J25" s="112">
        <f>SUM(J20:J24)</f>
        <v/>
      </c>
      <c r="K25" s="112">
        <f>SUM(K20:K24)</f>
        <v/>
      </c>
      <c r="L25" s="113" t="n"/>
    </row>
    <row r="26" ht="20" customHeight="1">
      <c r="A26" s="102" t="n"/>
      <c r="B26" s="103" t="inlineStr">
        <is>
          <t>기타잡화류</t>
        </is>
      </c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5" t="n"/>
    </row>
    <row r="27" ht="20" customHeight="1">
      <c r="A27" s="106" t="n">
        <v>16</v>
      </c>
      <c r="B27" s="107" t="inlineStr">
        <is>
          <t>기타잡화류</t>
        </is>
      </c>
      <c r="C27" s="107" t="inlineStr">
        <is>
          <t>니트릴장갑(블루,M)</t>
        </is>
      </c>
      <c r="D27" s="107" t="inlineStr">
        <is>
          <t>100매, 중국산</t>
        </is>
      </c>
      <c r="E27" s="108" t="inlineStr">
        <is>
          <t>곽</t>
        </is>
      </c>
      <c r="F27" s="109" t="n"/>
      <c r="G27" s="109" t="inlineStr">
        <is>
          <t>03/12</t>
        </is>
      </c>
      <c r="H27" s="109" t="n">
        <v>5</v>
      </c>
      <c r="I27" s="108" t="inlineStr">
        <is>
          <t>03/13</t>
        </is>
      </c>
      <c r="J27" s="108" t="n">
        <v>5</v>
      </c>
      <c r="K27" s="109">
        <f>F27+H27-J27</f>
        <v/>
      </c>
      <c r="L27" s="110" t="n"/>
    </row>
    <row r="28" ht="20" customHeight="1">
      <c r="A28" s="111" t="n"/>
      <c r="B28" s="112" t="n"/>
      <c r="C28" s="112" t="inlineStr">
        <is>
          <t>기타잡화류 소계</t>
        </is>
      </c>
      <c r="D28" s="112" t="n"/>
      <c r="E28" s="112" t="n"/>
      <c r="F28" s="112" t="n"/>
      <c r="G28" s="112" t="n"/>
      <c r="H28" s="112">
        <f>SUM(H27:H27)</f>
        <v/>
      </c>
      <c r="I28" s="112" t="n"/>
      <c r="J28" s="112">
        <f>SUM(J27:J27)</f>
        <v/>
      </c>
      <c r="K28" s="112">
        <f>SUM(K27:K27)</f>
        <v/>
      </c>
      <c r="L28" s="113" t="n"/>
    </row>
    <row r="29" ht="8" customHeight="1">
      <c r="A29" s="98" t="n"/>
      <c r="B29" s="99" t="n"/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101" t="n"/>
    </row>
    <row r="30" ht="25" customHeight="1">
      <c r="A30" s="114" t="n"/>
      <c r="B30" s="115" t="n"/>
      <c r="C30" s="115" t="inlineStr">
        <is>
          <t>★ 월계 합계</t>
        </is>
      </c>
      <c r="D30" s="115" t="n"/>
      <c r="E30" s="115" t="n"/>
      <c r="F30" s="115" t="n"/>
      <c r="G30" s="115" t="n"/>
      <c r="H30" s="115">
        <f>H18+H25+H28</f>
        <v/>
      </c>
      <c r="I30" s="115" t="n"/>
      <c r="J30" s="115">
        <f>J18+J25+J28</f>
        <v/>
      </c>
      <c r="K30" s="115">
        <f>K18+K25+K28</f>
        <v/>
      </c>
      <c r="L30" s="116" t="n"/>
    </row>
    <row r="31" ht="8" customHeight="1"/>
    <row r="32">
      <c r="A32" s="117" t="inlineStr">
        <is>
          <t>■ 월간 분류별 입출고 현황</t>
        </is>
      </c>
    </row>
    <row r="33" ht="6" customHeight="1"/>
    <row r="34">
      <c r="A34" s="94" t="inlineStr">
        <is>
          <t>분류</t>
        </is>
      </c>
      <c r="B34" s="95" t="inlineStr">
        <is>
          <t>출고건수</t>
        </is>
      </c>
      <c r="C34" s="95" t="inlineStr">
        <is>
          <t>출고수량</t>
        </is>
      </c>
      <c r="D34" s="95" t="inlineStr">
        <is>
          <t>입고건수</t>
        </is>
      </c>
      <c r="E34" s="95" t="inlineStr">
        <is>
          <t>입고수량</t>
        </is>
      </c>
      <c r="F34" s="97" t="inlineStr">
        <is>
          <t>재고수량</t>
        </is>
      </c>
    </row>
    <row r="35" ht="18" customHeight="1">
      <c r="A35" s="118" t="inlineStr">
        <is>
          <t>세제류</t>
        </is>
      </c>
      <c r="B35" s="108" t="n">
        <v>10</v>
      </c>
      <c r="C35" s="108">
        <f>H18</f>
        <v/>
      </c>
      <c r="D35" s="108" t="n">
        <v>10</v>
      </c>
      <c r="E35" s="108">
        <f>J18</f>
        <v/>
      </c>
      <c r="F35" s="119">
        <f>K18</f>
        <v/>
      </c>
    </row>
    <row r="36" ht="18" customHeight="1">
      <c r="A36" s="118" t="inlineStr">
        <is>
          <t>일용잡화류</t>
        </is>
      </c>
      <c r="B36" s="108" t="n">
        <v>5</v>
      </c>
      <c r="C36" s="108">
        <f>H25</f>
        <v/>
      </c>
      <c r="D36" s="108" t="n">
        <v>5</v>
      </c>
      <c r="E36" s="108">
        <f>J25</f>
        <v/>
      </c>
      <c r="F36" s="119">
        <f>K25</f>
        <v/>
      </c>
    </row>
    <row r="37" ht="18" customHeight="1">
      <c r="A37" s="118" t="inlineStr">
        <is>
          <t>기타잡화류</t>
        </is>
      </c>
      <c r="B37" s="108" t="n">
        <v>1</v>
      </c>
      <c r="C37" s="108">
        <f>H28</f>
        <v/>
      </c>
      <c r="D37" s="108" t="n">
        <v>1</v>
      </c>
      <c r="E37" s="108">
        <f>J28</f>
        <v/>
      </c>
      <c r="F37" s="119">
        <f>K28</f>
        <v/>
      </c>
    </row>
    <row r="38" ht="18" customHeight="1">
      <c r="A38" s="120" t="inlineStr">
        <is>
          <t>합계</t>
        </is>
      </c>
      <c r="B38" s="121">
        <f>SUM(B35:B37)</f>
        <v/>
      </c>
      <c r="C38" s="121">
        <f>SUM(C35:C37)</f>
        <v/>
      </c>
      <c r="D38" s="121">
        <f>SUM(D35:D37)</f>
        <v/>
      </c>
      <c r="E38" s="121">
        <f>SUM(E35:E37)</f>
        <v/>
      </c>
      <c r="F38" s="122">
        <f>SUM(F35:F37)</f>
        <v/>
      </c>
    </row>
    <row r="39" ht="8" customHeight="1"/>
    <row r="40">
      <c r="A40" s="117" t="inlineStr">
        <is>
          <t>■ 확인 및 결재</t>
        </is>
      </c>
    </row>
    <row r="41" ht="8" customHeight="1"/>
    <row r="42" ht="22" customHeight="1">
      <c r="A42" s="123" t="inlineStr">
        <is>
          <t>작성자</t>
        </is>
      </c>
      <c r="B42" s="96" t="n"/>
      <c r="C42" s="124" t="inlineStr">
        <is>
          <t>검토자</t>
        </is>
      </c>
      <c r="D42" s="96" t="n"/>
      <c r="E42" s="96" t="n"/>
      <c r="F42" s="124" t="inlineStr">
        <is>
          <t>승인자</t>
        </is>
      </c>
      <c r="G42" s="125" t="n"/>
    </row>
    <row r="43" ht="30" customHeight="1">
      <c r="A43" s="126" t="inlineStr">
        <is>
          <t>(   서명   )</t>
        </is>
      </c>
      <c r="B43" s="127" t="n"/>
      <c r="C43" s="128" t="inlineStr">
        <is>
          <t>(   서명   )</t>
        </is>
      </c>
      <c r="D43" s="127" t="n"/>
      <c r="E43" s="127" t="n"/>
      <c r="F43" s="128" t="inlineStr">
        <is>
          <t>(   서명   )</t>
        </is>
      </c>
      <c r="G43" s="129" t="n"/>
    </row>
  </sheetData>
  <mergeCells count="19">
    <mergeCell ref="E5:E6"/>
    <mergeCell ref="B3:C3"/>
    <mergeCell ref="C43:E43"/>
    <mergeCell ref="L5:L6"/>
    <mergeCell ref="F42:G42"/>
    <mergeCell ref="A5:A6"/>
    <mergeCell ref="A42:B42"/>
    <mergeCell ref="G5:H5"/>
    <mergeCell ref="I5:J5"/>
    <mergeCell ref="B5:B6"/>
    <mergeCell ref="D5:D6"/>
    <mergeCell ref="C42:E42"/>
    <mergeCell ref="F43:G43"/>
    <mergeCell ref="H3:I3"/>
    <mergeCell ref="A43:B43"/>
    <mergeCell ref="A1:L1"/>
    <mergeCell ref="K5:K6"/>
    <mergeCell ref="E3:F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2026-04-09T04:33:00Z</dcterms:created>
  <dcterms:modified xmlns:dcterms="http://purl.org/dc/terms/" xmlns:xsi="http://www.w3.org/2001/XMLSchema-instance" xsi:type="dcterms:W3CDTF">2026-04-16T05:39:03Z</dcterms:modified>
  <cp:lastModifiedBy>j jk</cp:lastModifiedBy>
</cp:coreProperties>
</file>